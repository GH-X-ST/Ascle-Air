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Ash\Documents\University Files\Year 3\GDP\gdp_repo\HER04\"/>
    </mc:Choice>
  </mc:AlternateContent>
  <xr:revisionPtr revIDLastSave="0" documentId="13_ncr:1_{728CB064-2882-4617-BAAA-D766DDB68A6D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15" i="1"/>
</calcChain>
</file>

<file path=xl/sharedStrings.xml><?xml version="1.0" encoding="utf-8"?>
<sst xmlns="http://schemas.openxmlformats.org/spreadsheetml/2006/main" count="37" uniqueCount="37">
  <si>
    <t>Component</t>
  </si>
  <si>
    <t>m</t>
  </si>
  <si>
    <t>x</t>
  </si>
  <si>
    <t>y</t>
  </si>
  <si>
    <t>z</t>
  </si>
  <si>
    <t>i_xx</t>
  </si>
  <si>
    <t>i_yy</t>
  </si>
  <si>
    <t>i_zz</t>
  </si>
  <si>
    <t>i_xy</t>
  </si>
  <si>
    <t>i_xz</t>
  </si>
  <si>
    <t>i_zy</t>
  </si>
  <si>
    <t>Nose</t>
  </si>
  <si>
    <t>Cabin</t>
  </si>
  <si>
    <t>Engine Fairings</t>
  </si>
  <si>
    <t>Left Tailboom</t>
  </si>
  <si>
    <t>Right Tailboom</t>
  </si>
  <si>
    <t>Horizontal Tailplane</t>
  </si>
  <si>
    <t>Left Vertical Tail</t>
  </si>
  <si>
    <t>Right Vertical Tailplane</t>
  </si>
  <si>
    <t>Fuel Tanks</t>
  </si>
  <si>
    <t>Engines, Transmission</t>
  </si>
  <si>
    <t>Elec, Hyd</t>
  </si>
  <si>
    <t>Equipment, carry on etc.</t>
  </si>
  <si>
    <t>Battery</t>
  </si>
  <si>
    <t>Pilots (and worn equipment)</t>
  </si>
  <si>
    <t>Rear pax</t>
  </si>
  <si>
    <t>Crew radio</t>
  </si>
  <si>
    <t>Dashboard</t>
  </si>
  <si>
    <t>Air data computers</t>
  </si>
  <si>
    <t>Air Conditioning</t>
  </si>
  <si>
    <t xml:space="preserve">Radio altimeter </t>
  </si>
  <si>
    <t xml:space="preserve">HTAWS </t>
  </si>
  <si>
    <t>FLIR 111</t>
  </si>
  <si>
    <t>Wirestrike system</t>
  </si>
  <si>
    <t xml:space="preserve">Spotlight </t>
  </si>
  <si>
    <t>Systems behind pilot (can be split up after intial granular cg)</t>
  </si>
  <si>
    <t>Floor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</si>
</sst>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workbookViewId="0">
      <selection activeCell="B12" sqref="B12"/>
    </sheetView>
  </sheetViews>
  <sheetFormatPr defaultColWidth="8.81640625" defaultRowHeight="14.5" x14ac:dyDescent="0.35"/>
  <cols>
    <col min="1" max="1" width="10.6328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11</v>
      </c>
      <c r="B2">
        <v>8.3391999999999999</v>
      </c>
      <c r="C2">
        <v>0.70799999999999996</v>
      </c>
      <c r="D2">
        <v>0</v>
      </c>
      <c r="E2">
        <v>0.93600000000000005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 t="s">
        <v>12</v>
      </c>
      <c r="B3">
        <v>116.16</v>
      </c>
      <c r="C3">
        <v>3.9209999999999998</v>
      </c>
      <c r="D3">
        <v>0</v>
      </c>
      <c r="E3">
        <v>1.351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5">
      <c r="A4" t="s">
        <v>13</v>
      </c>
      <c r="B4">
        <v>30.540800000000001</v>
      </c>
      <c r="C4">
        <v>4.9050000000000002</v>
      </c>
      <c r="D4">
        <v>0</v>
      </c>
      <c r="E4">
        <v>2.5129999999999999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">
        <v>14</v>
      </c>
      <c r="B5">
        <v>6.03</v>
      </c>
      <c r="C5">
        <v>8.5280000000000005</v>
      </c>
      <c r="D5">
        <v>-0.5</v>
      </c>
      <c r="E5">
        <v>2.1259999999999999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15</v>
      </c>
      <c r="B6">
        <v>6.03</v>
      </c>
      <c r="C6">
        <v>8.5280000000000005</v>
      </c>
      <c r="D6">
        <v>0.5</v>
      </c>
      <c r="E6">
        <v>2.1259999999999999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5">
      <c r="A7" t="s">
        <v>16</v>
      </c>
      <c r="B7">
        <v>18.12</v>
      </c>
      <c r="C7">
        <v>10.077</v>
      </c>
      <c r="D7">
        <v>0</v>
      </c>
      <c r="E7">
        <v>2.1539999999999999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">
        <v>17</v>
      </c>
      <c r="B8">
        <v>6.37</v>
      </c>
      <c r="C8">
        <v>10.099</v>
      </c>
      <c r="D8">
        <v>-1.5760000000000001</v>
      </c>
      <c r="E8">
        <v>2.1339999999999999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18</v>
      </c>
      <c r="B9">
        <v>6.37</v>
      </c>
      <c r="C9">
        <v>10.099</v>
      </c>
      <c r="D9">
        <v>1.5760000000000001</v>
      </c>
      <c r="E9">
        <v>2.1339999999999999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">
        <v>19</v>
      </c>
      <c r="B10">
        <v>673</v>
      </c>
      <c r="C10">
        <v>4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 t="s">
        <v>20</v>
      </c>
      <c r="B11">
        <v>494.8</v>
      </c>
      <c r="C11">
        <v>4.8</v>
      </c>
      <c r="D11">
        <v>0</v>
      </c>
      <c r="E11">
        <v>2.5129999999999999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21</v>
      </c>
      <c r="B12">
        <v>24.1</v>
      </c>
      <c r="C12">
        <v>3.9209999999999998</v>
      </c>
      <c r="D12">
        <v>0</v>
      </c>
      <c r="E12">
        <v>1.351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">
        <v>22</v>
      </c>
      <c r="B13">
        <v>462.15</v>
      </c>
      <c r="C13">
        <v>3.9209999999999998</v>
      </c>
      <c r="D13">
        <v>0</v>
      </c>
      <c r="E13">
        <v>1.351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">
        <v>23</v>
      </c>
      <c r="B14">
        <v>19</v>
      </c>
      <c r="C14">
        <v>2.5</v>
      </c>
      <c r="D14">
        <v>0</v>
      </c>
      <c r="E14">
        <v>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24</v>
      </c>
      <c r="B15">
        <f>2*(90+2+0.404)</f>
        <v>184.80799999999999</v>
      </c>
      <c r="C15">
        <v>1.9</v>
      </c>
      <c r="D15">
        <v>0</v>
      </c>
      <c r="E15">
        <v>3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25</v>
      </c>
      <c r="B16">
        <f>90*4</f>
        <v>360</v>
      </c>
      <c r="C16">
        <v>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">
        <v>26</v>
      </c>
      <c r="B17">
        <v>1.1000000000000001</v>
      </c>
      <c r="C17">
        <v>2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27</v>
      </c>
      <c r="B18">
        <v>20.260000000000002</v>
      </c>
      <c r="C18">
        <v>1.1000000000000001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">
        <v>28</v>
      </c>
      <c r="B19">
        <v>1.71</v>
      </c>
      <c r="C19">
        <v>0.70799999999999996</v>
      </c>
      <c r="D19">
        <v>0</v>
      </c>
      <c r="E19">
        <v>0.93600000000000005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">
        <v>29</v>
      </c>
      <c r="B20">
        <v>50</v>
      </c>
      <c r="C20">
        <v>5</v>
      </c>
      <c r="D20">
        <v>0</v>
      </c>
      <c r="E20">
        <v>2.5129999999999999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">
        <v>30</v>
      </c>
      <c r="B21">
        <v>1.4</v>
      </c>
      <c r="C21">
        <v>1.5</v>
      </c>
      <c r="D21">
        <v>0</v>
      </c>
      <c r="E21">
        <v>0.5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">
        <v>31</v>
      </c>
      <c r="B22">
        <v>5.25</v>
      </c>
      <c r="C22">
        <v>0.70799999999999996</v>
      </c>
      <c r="D22">
        <v>0</v>
      </c>
      <c r="E22">
        <v>0.93600000000000005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 t="s">
        <v>32</v>
      </c>
      <c r="B23">
        <v>20</v>
      </c>
      <c r="C23">
        <v>1</v>
      </c>
      <c r="D23">
        <v>0</v>
      </c>
      <c r="E23">
        <v>0.6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33</v>
      </c>
      <c r="B24">
        <v>7</v>
      </c>
      <c r="C24">
        <v>2</v>
      </c>
      <c r="D24">
        <v>0</v>
      </c>
      <c r="E24">
        <v>1.8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34</v>
      </c>
      <c r="B25">
        <v>31</v>
      </c>
      <c r="C25">
        <v>2</v>
      </c>
      <c r="D25">
        <v>0</v>
      </c>
      <c r="E25">
        <v>0.6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35</v>
      </c>
      <c r="B26">
        <v>30</v>
      </c>
      <c r="C26">
        <v>2.5299999999999998</v>
      </c>
      <c r="D26">
        <v>0</v>
      </c>
      <c r="E26">
        <v>1.8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36</v>
      </c>
      <c r="B27">
        <v>53.87</v>
      </c>
      <c r="C27">
        <v>3.1619999999999999</v>
      </c>
      <c r="D27">
        <v>0</v>
      </c>
      <c r="E27">
        <v>0.6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 Robson</dc:creator>
  <cp:lastModifiedBy>Robson, Ash</cp:lastModifiedBy>
  <dcterms:created xsi:type="dcterms:W3CDTF">2015-06-05T18:19:34Z</dcterms:created>
  <dcterms:modified xsi:type="dcterms:W3CDTF">2025-06-04T16:33:52Z</dcterms:modified>
</cp:coreProperties>
</file>